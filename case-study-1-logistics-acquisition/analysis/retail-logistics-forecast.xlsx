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 activeTab="3"/>
  </bookViews>
  <sheets>
    <sheet name="Synergy R" sheetId="1" r:id="rId1"/>
    <sheet name="Market Share R" sheetId="2" r:id="rId2"/>
    <sheet name="Customer Retention R" sheetId="3" r:id="rId3"/>
    <sheet name="Revenue Synergies" sheetId="4" r:id="rId4"/>
  </sheets>
  <calcPr calcId="144525"/>
</workbook>
</file>

<file path=xl/calcChain.xml><?xml version="1.0" encoding="utf-8"?>
<calcChain xmlns="http://schemas.openxmlformats.org/spreadsheetml/2006/main">
  <c r="E3" i="4" l="1"/>
  <c r="E4" i="4"/>
  <c r="E2" i="4"/>
  <c r="D3" i="4"/>
  <c r="D4" i="4"/>
  <c r="D2" i="4"/>
  <c r="E2" i="3"/>
  <c r="B3" i="4"/>
  <c r="E3" i="3"/>
  <c r="E4" i="3"/>
  <c r="D3" i="3"/>
  <c r="D4" i="3"/>
  <c r="D2" i="3"/>
  <c r="E3" i="2"/>
  <c r="E4" i="2"/>
  <c r="E2" i="2"/>
  <c r="C3" i="2"/>
  <c r="C4" i="2"/>
  <c r="C2" i="2"/>
  <c r="E4" i="1"/>
  <c r="B4" i="4" s="1"/>
  <c r="E3" i="1"/>
  <c r="E2" i="1"/>
  <c r="B2" i="4" s="1"/>
</calcChain>
</file>

<file path=xl/sharedStrings.xml><?xml version="1.0" encoding="utf-8"?>
<sst xmlns="http://schemas.openxmlformats.org/spreadsheetml/2006/main" count="33" uniqueCount="21">
  <si>
    <t>Current Retail</t>
  </si>
  <si>
    <t>Current Logistics</t>
  </si>
  <si>
    <t>Synergy Growth Rate</t>
  </si>
  <si>
    <t>Synergy Revenue</t>
  </si>
  <si>
    <t>Company</t>
  </si>
  <si>
    <t>Delhivery</t>
  </si>
  <si>
    <t>Blue Dart</t>
  </si>
  <si>
    <t>Gati</t>
  </si>
  <si>
    <t>Market Size</t>
  </si>
  <si>
    <t>Market Share Revenue</t>
  </si>
  <si>
    <t>Customer Base</t>
  </si>
  <si>
    <t>Increased Retention Rate</t>
  </si>
  <si>
    <t>Initial Market Share</t>
  </si>
  <si>
    <t>Expected Increase</t>
  </si>
  <si>
    <t/>
  </si>
  <si>
    <t>ARPU (Rs)</t>
  </si>
  <si>
    <t>Customer Retention Revenue (Cr)</t>
  </si>
  <si>
    <t>Final Synergy Revenue</t>
  </si>
  <si>
    <t>Error Correction Factor</t>
  </si>
  <si>
    <t>Total Synergy Revenue</t>
  </si>
  <si>
    <t>Delta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</si>
</sst>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D10" sqref="D10"/>
    </sheetView>
  </sheetViews>
  <sheetFormatPr defaultRowHeight="14.4" x14ac:dyDescent="0.3"/>
  <cols>
    <col min="1" max="1" width="9.77734375" customWidth="1"/>
    <col min="2" max="2" width="18.88671875" customWidth="1"/>
    <col min="3" max="3" width="23" customWidth="1"/>
    <col min="4" max="4" width="27.44140625" customWidth="1"/>
    <col min="5" max="5" width="21.88671875" customWidth="1"/>
    <col min="6" max="6" width="18" customWidth="1"/>
    <col min="7" max="7" width="18.21875" customWidth="1"/>
    <col min="8" max="8" width="15.33203125" customWidth="1"/>
  </cols>
  <sheetData>
    <row r="1" spans="1:8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/>
    </row>
    <row r="2" spans="1:8" x14ac:dyDescent="0.3">
      <c r="A2" t="s">
        <v>5</v>
      </c>
      <c r="B2">
        <v>251971.67</v>
      </c>
      <c r="C2">
        <v>6658.66</v>
      </c>
      <c r="D2">
        <v>0.01</v>
      </c>
      <c r="E2">
        <f>(B2+C2)*(1+D2)</f>
        <v>261216.63330000002</v>
      </c>
    </row>
    <row r="3" spans="1:8" x14ac:dyDescent="0.3">
      <c r="A3" t="s">
        <v>6</v>
      </c>
      <c r="B3">
        <v>251971.67</v>
      </c>
      <c r="C3">
        <v>5204.26</v>
      </c>
      <c r="D3">
        <v>0.01</v>
      </c>
      <c r="E3">
        <f>(B3+C3)*(1+D3)</f>
        <v>259747.68930000003</v>
      </c>
    </row>
    <row r="4" spans="1:8" x14ac:dyDescent="0.3">
      <c r="A4" t="s">
        <v>7</v>
      </c>
      <c r="B4">
        <v>251971.67</v>
      </c>
      <c r="C4">
        <v>1746.04</v>
      </c>
      <c r="D4">
        <v>0.01</v>
      </c>
      <c r="E4">
        <f>(B4+C4)*(1+D4)</f>
        <v>256254.88710000002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4" sqref="E4"/>
    </sheetView>
  </sheetViews>
  <sheetFormatPr defaultRowHeight="14.4" x14ac:dyDescent="0.3"/>
  <cols>
    <col min="1" max="1" width="11.33203125" customWidth="1"/>
    <col min="2" max="2" width="12.5546875" customWidth="1"/>
    <col min="3" max="4" width="23.33203125" customWidth="1"/>
    <col min="5" max="5" width="20.44140625" customWidth="1"/>
  </cols>
  <sheetData>
    <row r="1" spans="1:5" x14ac:dyDescent="0.3">
      <c r="A1" s="2" t="s">
        <v>4</v>
      </c>
      <c r="B1" s="2" t="s">
        <v>8</v>
      </c>
      <c r="C1" s="2" t="s">
        <v>12</v>
      </c>
      <c r="D1" s="2" t="s">
        <v>13</v>
      </c>
      <c r="E1" s="2" t="s">
        <v>9</v>
      </c>
    </row>
    <row r="2" spans="1:5" x14ac:dyDescent="0.3">
      <c r="A2" t="s">
        <v>5</v>
      </c>
      <c r="B2">
        <v>7826539.7999999998</v>
      </c>
      <c r="C2">
        <f>'Synergy R'!B2/'Market Share R'!B2*100</f>
        <v>3.2194517173476842</v>
      </c>
      <c r="D2">
        <v>2.75</v>
      </c>
      <c r="E2">
        <f>0.9*B2*(C2+D2)/100</f>
        <v>420481.36305000004</v>
      </c>
    </row>
    <row r="3" spans="1:5" x14ac:dyDescent="0.3">
      <c r="A3" t="s">
        <v>6</v>
      </c>
      <c r="B3">
        <v>7826539.7999999998</v>
      </c>
      <c r="C3">
        <f>'Synergy R'!B3/'Market Share R'!B3*100</f>
        <v>3.2194517173476842</v>
      </c>
      <c r="D3">
        <v>2.25</v>
      </c>
      <c r="E3">
        <f t="shared" ref="E3:E4" si="0">0.9*B3*(C3+D3)/100</f>
        <v>385261.93395000004</v>
      </c>
    </row>
    <row r="4" spans="1:5" x14ac:dyDescent="0.3">
      <c r="A4" t="s">
        <v>7</v>
      </c>
      <c r="B4">
        <v>7826539.7999999998</v>
      </c>
      <c r="C4">
        <f>'Synergy R'!B4/'Market Share R'!B4*100</f>
        <v>3.2194517173476842</v>
      </c>
      <c r="D4">
        <v>2.5</v>
      </c>
      <c r="E4">
        <f t="shared" si="0"/>
        <v>402871.64850000007</v>
      </c>
    </row>
    <row r="5" spans="1:5" x14ac:dyDescent="0.3">
      <c r="D5" s="3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5" sqref="C5"/>
    </sheetView>
  </sheetViews>
  <sheetFormatPr defaultRowHeight="14.4" x14ac:dyDescent="0.3"/>
  <cols>
    <col min="1" max="1" width="12.33203125" customWidth="1"/>
    <col min="2" max="2" width="13.44140625" customWidth="1"/>
    <col min="3" max="3" width="22.77734375" customWidth="1"/>
    <col min="5" max="5" width="29.109375" customWidth="1"/>
  </cols>
  <sheetData>
    <row r="1" spans="1:5" x14ac:dyDescent="0.3">
      <c r="A1" t="s">
        <v>4</v>
      </c>
      <c r="B1" t="s">
        <v>10</v>
      </c>
      <c r="C1" t="s">
        <v>11</v>
      </c>
      <c r="D1" t="s">
        <v>15</v>
      </c>
      <c r="E1" t="s">
        <v>16</v>
      </c>
    </row>
    <row r="2" spans="1:5" x14ac:dyDescent="0.3">
      <c r="A2" t="s">
        <v>5</v>
      </c>
      <c r="B2">
        <v>24.9</v>
      </c>
      <c r="C2">
        <v>50</v>
      </c>
      <c r="D2">
        <f>'Synergy R'!B2/'Customer Retention R'!B2</f>
        <v>10119.344176706829</v>
      </c>
      <c r="E2">
        <f>B2*C2*D2/10000000</f>
        <v>1.2598583500000002</v>
      </c>
    </row>
    <row r="3" spans="1:5" x14ac:dyDescent="0.3">
      <c r="A3" t="s">
        <v>6</v>
      </c>
      <c r="B3">
        <v>24.9</v>
      </c>
      <c r="C3">
        <v>40</v>
      </c>
      <c r="D3">
        <f>'Synergy R'!B3/'Customer Retention R'!B3</f>
        <v>10119.344176706829</v>
      </c>
      <c r="E3">
        <f t="shared" ref="E3:E4" si="0">B3*C3*D3/10000000</f>
        <v>1.0078866800000001</v>
      </c>
    </row>
    <row r="4" spans="1:5" x14ac:dyDescent="0.3">
      <c r="A4" t="s">
        <v>7</v>
      </c>
      <c r="B4">
        <v>24.9</v>
      </c>
      <c r="C4">
        <v>45</v>
      </c>
      <c r="D4">
        <f>'Synergy R'!B4/'Customer Retention R'!B4</f>
        <v>10119.344176706829</v>
      </c>
      <c r="E4">
        <f t="shared" si="0"/>
        <v>1.1338725150000002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J16" sqref="J16"/>
    </sheetView>
  </sheetViews>
  <sheetFormatPr defaultRowHeight="14.4" x14ac:dyDescent="0.3"/>
  <cols>
    <col min="1" max="1" width="12.5546875" customWidth="1"/>
    <col min="2" max="2" width="19.21875" customWidth="1"/>
    <col min="3" max="3" width="19.77734375" customWidth="1"/>
    <col min="4" max="4" width="18.6640625" customWidth="1"/>
    <col min="5" max="5" width="15.109375" customWidth="1"/>
  </cols>
  <sheetData>
    <row r="1" spans="1:5" x14ac:dyDescent="0.3">
      <c r="A1" t="s">
        <v>4</v>
      </c>
      <c r="B1" t="s">
        <v>19</v>
      </c>
      <c r="C1" t="s">
        <v>18</v>
      </c>
      <c r="D1" t="s">
        <v>17</v>
      </c>
      <c r="E1" t="s">
        <v>20</v>
      </c>
    </row>
    <row r="2" spans="1:5" x14ac:dyDescent="0.3">
      <c r="A2" t="s">
        <v>5</v>
      </c>
      <c r="B2">
        <f>'Synergy R'!E2+'Market Share R'!E2+'Customer Retention R'!E2</f>
        <v>681699.25620835007</v>
      </c>
      <c r="C2">
        <v>0.33</v>
      </c>
      <c r="D2">
        <f>B2/C2</f>
        <v>2065755.3218434849</v>
      </c>
      <c r="E2">
        <f>D2-'Synergy R'!B2</f>
        <v>1813783.651843485</v>
      </c>
    </row>
    <row r="3" spans="1:5" x14ac:dyDescent="0.3">
      <c r="A3" t="s">
        <v>6</v>
      </c>
      <c r="B3">
        <f>'Synergy R'!E3+'Market Share R'!E3+'Customer Retention R'!E3</f>
        <v>645010.63113668002</v>
      </c>
      <c r="C3">
        <v>0.33</v>
      </c>
      <c r="D3">
        <f t="shared" ref="D3:D4" si="0">B3/C3</f>
        <v>1954577.6701111514</v>
      </c>
      <c r="E3">
        <f>D3-'Synergy R'!B3</f>
        <v>1702606.0001111515</v>
      </c>
    </row>
    <row r="4" spans="1:5" x14ac:dyDescent="0.3">
      <c r="A4" t="s">
        <v>7</v>
      </c>
      <c r="B4">
        <f>'Synergy R'!E4+'Market Share R'!E4+'Customer Retention R'!E4</f>
        <v>659127.66947251512</v>
      </c>
      <c r="C4">
        <v>0.33</v>
      </c>
      <c r="D4">
        <f t="shared" si="0"/>
        <v>1997356.5741591367</v>
      </c>
      <c r="E4">
        <f>D4-'Synergy R'!B4</f>
        <v>1745384.9041591368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Synergy R</vt:lpstr>
      <vt:lpstr>Market Share R</vt:lpstr>
      <vt:lpstr>Customer Retention R</vt:lpstr>
      <vt:lpstr>Revenue Synergies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2025-03-08T01:21:18Z</dcterms:created>
  <dcterms:modified xsi:type="dcterms:W3CDTF">2025-03-08T14:42:49Z</dcterms:modified>
</cp:coreProperties>
</file>